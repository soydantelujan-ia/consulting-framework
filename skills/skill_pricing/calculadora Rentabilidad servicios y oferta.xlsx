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3"/>
    <sheet state="visible" name="Calculadora de rentabilidad" sheetId="2" r:id="rId4"/>
    <sheet state="visible" name="Copy of Calculadora de rentabil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los alumnos estaban modificando esta plantilla porque no está bloqueada, la restauré, revísenla por favor.
+hola@academiadeconsultores.com
_Assigned to Academia de Consultores_
	-Alex Gonzales</t>
      </text>
    </comment>
  </commentList>
</comments>
</file>

<file path=xl/sharedStrings.xml><?xml version="1.0" encoding="utf-8"?>
<sst xmlns="http://schemas.openxmlformats.org/spreadsheetml/2006/main" count="25" uniqueCount="17">
  <si>
    <t>PLANTILLA: Rentabilidad servicios y oferta</t>
  </si>
  <si>
    <t>Con esta plantilla podrás calcular la rentabilidad de tus servicios de consultoría y oferta</t>
  </si>
  <si>
    <t>Precio final a cliente</t>
  </si>
  <si>
    <t>Coste del proyecto</t>
  </si>
  <si>
    <t>Otros (Impuestos, bonus, costes indirectos, etc.)</t>
  </si>
  <si>
    <t>% de beneficio deseado</t>
  </si>
  <si>
    <t>INSTRUCCIONES DE USO:</t>
  </si>
  <si>
    <t>Beneficio deseado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</si>
  <si>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</si>
  <si>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</si>
  <si>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</si>
  <si>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% de beneficio actual</t>
  </si>
  <si>
    <t>Beneficio actual</t>
  </si>
  <si>
    <t>Diferencia de beneficio deseado al actual</t>
  </si>
  <si>
    <t>Copyright © 2019 - Reservados todos los derechos</t>
  </si>
  <si>
    <t xml:space="preserve">Plantilla creada por el equipo ADC 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</si>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</sst>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</font>
    <font>
      <name val="Montserrat"/>
    </font>
    <font>
      <name val="Arial"/>
    </font>
    <font>
      <b/>
      <i/>
      <name val="Montserrat"/>
    </font>
    <font>
      <b/>
      <sz val="14.0"/>
      <name val="Montserrat"/>
    </font>
    <font>
      <b/>
      <sz val="24.0"/>
      <color rgb="FFFFFFFF"/>
      <name val="Montserrat"/>
    </font>
    <font/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6">
    <fill>
      <patternFill patternType="none"/>
    </fill>
    <fill>
      <patternFill patternType="lightGray"/>
    </fill>
    <fill>
      <patternFill patternType="solid">
        <fgColor rgb="FF4574B3"/>
        <bgColor rgb="FF4574B3"/>
      </patternFill>
    </fill>
    <fill>
      <patternFill patternType="solid">
        <fgColor rgb="FFFFFFFF"/>
        <bgColor rgb="FFFFFFFF"/>
      </patternFill>
    </fill>
    <fill>
      <patternFill patternType="solid">
        <fgColor rgb="FFEAC140"/>
        <bgColor rgb="FFEAC140"/>
      </patternFill>
    </fill>
    <fill>
      <patternFill patternType="solid">
        <fgColor rgb="FFFF0000"/>
        <bgColor rgb="FFFF0000"/>
      </patternFill>
    </fill>
  </fills>
  <borders count="15">
    <border/>
    <border>
      <bottom style="thick">
        <color rgb="FF000000"/>
      </bottom>
    </border>
    <border>
      <right style="thick">
        <color rgb="FF000000"/>
      </right>
    </border>
    <border>
      <left style="thin">
        <color rgb="FF4574B3"/>
      </left>
      <top style="thin">
        <color rgb="FF4574B3"/>
      </top>
    </border>
    <border>
      <top style="thin">
        <color rgb="FF4574B3"/>
      </top>
    </border>
    <border>
      <right style="thick">
        <color rgb="FF000000"/>
      </right>
      <bottom style="thick">
        <color rgb="FF000000"/>
      </bottom>
    </border>
    <border>
      <right style="thin">
        <color rgb="FF4574B3"/>
      </right>
      <top style="thin">
        <color rgb="FF4574B3"/>
      </top>
    </border>
    <border>
      <left style="thin">
        <color rgb="FF4574B3"/>
      </left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right style="thin">
        <color rgb="FF4574B3"/>
      </right>
    </border>
    <border>
      <right/>
    </border>
    <border>
      <left style="thin">
        <color rgb="FF4574B3"/>
      </left>
      <bottom style="thin">
        <color rgb="FF4574B3"/>
      </bottom>
    </border>
    <border>
      <bottom style="thin">
        <color rgb="FF4574B3"/>
      </bottom>
    </border>
    <border>
      <right style="thin">
        <color rgb="FF4574B3"/>
      </right>
      <bottom style="thin">
        <color rgb="FF4574B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1" numFmtId="164" xfId="0" applyFont="1" applyNumberFormat="1"/>
    <xf borderId="2" fillId="0" fontId="2" numFmtId="0" xfId="0" applyAlignment="1" applyBorder="1" applyFont="1">
      <alignment vertical="bottom"/>
    </xf>
    <xf borderId="3" fillId="2" fontId="1" numFmtId="0" xfId="0" applyBorder="1" applyFill="1" applyFont="1"/>
    <xf borderId="4" fillId="2" fontId="1" numFmtId="0" xfId="0" applyBorder="1" applyFont="1"/>
    <xf borderId="5" fillId="0" fontId="2" numFmtId="0" xfId="0" applyAlignment="1" applyBorder="1" applyFont="1">
      <alignment vertical="bottom"/>
    </xf>
    <xf borderId="4" fillId="2" fontId="1" numFmtId="164" xfId="0" applyBorder="1" applyFont="1" applyNumberFormat="1"/>
    <xf borderId="0" fillId="3" fontId="2" numFmtId="0" xfId="0" applyAlignment="1" applyFill="1" applyFont="1">
      <alignment vertical="bottom"/>
    </xf>
    <xf borderId="6" fillId="2" fontId="1" numFmtId="0" xfId="0" applyBorder="1" applyFont="1"/>
    <xf borderId="2" fillId="3" fontId="2" numFmtId="0" xfId="0" applyAlignment="1" applyBorder="1" applyFont="1">
      <alignment vertical="bottom"/>
    </xf>
    <xf borderId="7" fillId="0" fontId="1" numFmtId="0" xfId="0" applyBorder="1" applyFont="1"/>
    <xf borderId="8" fillId="3" fontId="2" numFmtId="0" xfId="0" applyAlignment="1" applyBorder="1" applyFont="1">
      <alignment vertical="bottom"/>
    </xf>
    <xf borderId="0" fillId="0" fontId="3" numFmtId="0" xfId="0" applyAlignment="1" applyFont="1">
      <alignment readingOrder="0" shrinkToFit="0" wrapText="1"/>
    </xf>
    <xf borderId="9" fillId="0" fontId="2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 readingOrder="0"/>
    </xf>
    <xf borderId="8" fillId="2" fontId="5" numFmtId="0" xfId="0" applyAlignment="1" applyBorder="1" applyFont="1">
      <alignment horizontal="center" readingOrder="0" vertical="bottom"/>
    </xf>
    <xf borderId="8" fillId="0" fontId="6" numFmtId="0" xfId="0" applyBorder="1" applyFont="1"/>
    <xf borderId="10" fillId="0" fontId="1" numFmtId="0" xfId="0" applyBorder="1" applyFont="1"/>
    <xf borderId="9" fillId="0" fontId="6" numFmtId="0" xfId="0" applyBorder="1" applyFont="1"/>
    <xf borderId="0" fillId="3" fontId="7" numFmtId="0" xfId="0" applyAlignment="1" applyFont="1">
      <alignment horizontal="center" readingOrder="0" shrinkToFit="0" vertical="bottom" wrapText="1"/>
    </xf>
    <xf borderId="0" fillId="0" fontId="4" numFmtId="9" xfId="0" applyAlignment="1" applyFont="1" applyNumberFormat="1">
      <alignment horizontal="center" readingOrder="0"/>
    </xf>
    <xf borderId="11" fillId="3" fontId="8" numFmtId="0" xfId="0" applyAlignment="1" applyBorder="1" applyFont="1">
      <alignment shrinkToFit="0" vertical="bottom" wrapText="0"/>
    </xf>
    <xf borderId="0" fillId="0" fontId="4" numFmtId="164" xfId="0" applyAlignment="1" applyFont="1" applyNumberFormat="1">
      <alignment horizontal="center"/>
    </xf>
    <xf borderId="0" fillId="3" fontId="9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4" numFmtId="9" xfId="0" applyAlignment="1" applyFont="1" applyNumberFormat="1">
      <alignment horizontal="center"/>
    </xf>
    <xf borderId="0" fillId="4" fontId="2" numFmtId="0" xfId="0" applyAlignment="1" applyFill="1" applyFont="1">
      <alignment vertical="bottom"/>
    </xf>
    <xf borderId="0" fillId="5" fontId="4" numFmtId="9" xfId="0" applyAlignment="1" applyFill="1" applyFont="1" applyNumberFormat="1">
      <alignment horizontal="center"/>
    </xf>
    <xf borderId="2" fillId="4" fontId="2" numFmtId="0" xfId="0" applyAlignment="1" applyBorder="1" applyFont="1">
      <alignment vertical="bottom"/>
    </xf>
    <xf borderId="0" fillId="3" fontId="4" numFmtId="9" xfId="0" applyAlignment="1" applyFont="1" applyNumberFormat="1">
      <alignment horizontal="center"/>
    </xf>
    <xf borderId="0" fillId="4" fontId="10" numFmtId="0" xfId="0" applyAlignment="1" applyFont="1">
      <alignment horizontal="center" vertical="bottom"/>
    </xf>
    <xf borderId="12" fillId="4" fontId="1" numFmtId="0" xfId="0" applyBorder="1" applyFont="1"/>
    <xf borderId="2" fillId="0" fontId="6" numFmtId="0" xfId="0" applyBorder="1" applyFont="1"/>
    <xf borderId="13" fillId="4" fontId="9" numFmtId="0" xfId="0" applyBorder="1" applyFont="1"/>
    <xf borderId="0" fillId="4" fontId="11" numFmtId="0" xfId="0" applyAlignment="1" applyFont="1">
      <alignment horizontal="center" vertical="bottom"/>
    </xf>
    <xf borderId="13" fillId="4" fontId="1" numFmtId="0" xfId="0" applyBorder="1" applyFont="1"/>
    <xf borderId="0" fillId="4" fontId="12" numFmtId="0" xfId="0" applyAlignment="1" applyFont="1">
      <alignment horizontal="center" vertical="bottom"/>
    </xf>
    <xf borderId="13" fillId="4" fontId="1" numFmtId="164" xfId="0" applyBorder="1" applyFont="1" applyNumberFormat="1"/>
    <xf borderId="1" fillId="4" fontId="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14" fillId="4" fontId="1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647700</xdr:colOff>
      <xdr:row>1</xdr:row>
      <xdr:rowOff>180975</xdr:rowOff>
    </xdr:from>
    <xdr:ext cx="1438275" cy="971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/>
      <c r="B1" s="2"/>
      <c r="C1" s="2"/>
      <c r="D1" s="2"/>
      <c r="E1" s="2"/>
      <c r="F1" s="2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5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5"/>
      <c r="G3" s="2"/>
      <c r="H3" s="2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5"/>
      <c r="G4" s="2"/>
      <c r="H4" s="2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5"/>
      <c r="G5" s="2"/>
      <c r="H5" s="2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3"/>
      <c r="E6" s="3"/>
      <c r="F6" s="8"/>
      <c r="G6" s="2"/>
      <c r="H6" s="2"/>
      <c r="I6" s="5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/>
      <c r="C7" s="2"/>
      <c r="D7" s="2"/>
      <c r="E7" s="2"/>
      <c r="F7" s="5"/>
      <c r="G7" s="2"/>
      <c r="H7" s="2"/>
      <c r="I7" s="5"/>
      <c r="J7" s="2"/>
      <c r="K7" s="2"/>
      <c r="L7" s="2"/>
      <c r="M7" s="5"/>
      <c r="N7" s="2"/>
      <c r="X7" s="2"/>
      <c r="Y7" s="2"/>
      <c r="Z7" s="2"/>
    </row>
    <row r="8">
      <c r="A8" s="2"/>
      <c r="B8" s="5"/>
      <c r="C8" s="10"/>
      <c r="D8" s="10"/>
      <c r="E8" s="10"/>
      <c r="F8" s="12"/>
      <c r="G8" s="3"/>
      <c r="H8" s="3"/>
      <c r="I8" s="8"/>
      <c r="J8" s="10"/>
      <c r="K8" s="10"/>
      <c r="L8" s="10"/>
      <c r="M8" s="5"/>
      <c r="N8" s="2"/>
      <c r="X8" s="2"/>
      <c r="Y8" s="2"/>
      <c r="Z8" s="2"/>
    </row>
    <row r="9">
      <c r="A9" s="2"/>
      <c r="B9" s="5"/>
      <c r="C9" s="14"/>
      <c r="D9" s="14"/>
      <c r="E9" s="14"/>
      <c r="F9" s="14"/>
      <c r="G9" s="14"/>
      <c r="H9" s="14"/>
      <c r="I9" s="14"/>
      <c r="J9" s="14"/>
      <c r="K9" s="14"/>
      <c r="L9" s="14"/>
      <c r="M9" s="16"/>
      <c r="N9" s="2"/>
      <c r="X9" s="2"/>
      <c r="Y9" s="2"/>
      <c r="Z9" s="2"/>
    </row>
    <row r="10">
      <c r="A10" s="2"/>
      <c r="B10" s="5"/>
      <c r="C10" s="18" t="s">
        <v>0</v>
      </c>
      <c r="D10" s="19"/>
      <c r="E10" s="19"/>
      <c r="F10" s="19"/>
      <c r="G10" s="19"/>
      <c r="H10" s="19"/>
      <c r="I10" s="19"/>
      <c r="J10" s="19"/>
      <c r="K10" s="19"/>
      <c r="L10" s="19"/>
      <c r="M10" s="21"/>
      <c r="N10" s="2"/>
      <c r="X10" s="2"/>
      <c r="Y10" s="2"/>
      <c r="Z10" s="2"/>
    </row>
    <row r="11">
      <c r="A11" s="2"/>
      <c r="B11" s="5"/>
      <c r="C11" s="10"/>
      <c r="D11" s="2"/>
      <c r="E11" s="2"/>
      <c r="F11" s="2"/>
      <c r="G11" s="2"/>
      <c r="H11" s="2"/>
      <c r="I11" s="2"/>
      <c r="J11" s="2"/>
      <c r="K11" s="2"/>
      <c r="L11" s="2"/>
      <c r="M11" s="5"/>
      <c r="N11" s="2"/>
      <c r="X11" s="2"/>
      <c r="Y11" s="2"/>
      <c r="Z11" s="2"/>
    </row>
    <row r="12">
      <c r="A12" s="2"/>
      <c r="B12" s="5"/>
      <c r="C12" s="10"/>
      <c r="D12" s="2"/>
      <c r="E12" s="2"/>
      <c r="F12" s="2"/>
      <c r="G12" s="2"/>
      <c r="H12" s="2"/>
      <c r="I12" s="2"/>
      <c r="J12" s="2"/>
      <c r="K12" s="2"/>
      <c r="L12" s="2"/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/>
      <c r="C13" s="10"/>
      <c r="D13" s="22" t="s">
        <v>1</v>
      </c>
      <c r="M13" s="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/>
      <c r="C14" s="10"/>
      <c r="M14" s="5"/>
      <c r="N14" s="2"/>
      <c r="O14" s="2"/>
      <c r="P14" s="2"/>
      <c r="X14" s="2"/>
      <c r="Y14" s="2"/>
      <c r="Z14" s="2"/>
    </row>
    <row r="15">
      <c r="A15" s="2"/>
      <c r="B15" s="5"/>
      <c r="C15" s="10"/>
      <c r="M15" s="5"/>
      <c r="N15" s="2"/>
      <c r="O15" s="2"/>
      <c r="P15" s="2"/>
      <c r="X15" s="2"/>
      <c r="Y15" s="2"/>
      <c r="Z15" s="2"/>
    </row>
    <row r="16">
      <c r="A16" s="2"/>
      <c r="B16" s="5"/>
      <c r="C16" s="10"/>
      <c r="M16" s="5"/>
      <c r="N16" s="2"/>
      <c r="O16" s="2"/>
      <c r="P16" s="2"/>
      <c r="X16" s="2"/>
      <c r="Y16" s="2"/>
      <c r="Z16" s="2"/>
    </row>
    <row r="17">
      <c r="A17" s="2"/>
      <c r="B17" s="5"/>
      <c r="C17" s="10"/>
      <c r="M17" s="5"/>
      <c r="N17" s="2"/>
      <c r="O17" s="2"/>
      <c r="P17" s="2"/>
      <c r="X17" s="2"/>
      <c r="Y17" s="2"/>
      <c r="Z17" s="2"/>
    </row>
    <row r="18">
      <c r="A18" s="2"/>
      <c r="B18" s="5"/>
      <c r="C18" s="10"/>
      <c r="D18" s="2"/>
      <c r="E18" s="2"/>
      <c r="F18" s="2"/>
      <c r="G18" s="2"/>
      <c r="H18" s="2"/>
      <c r="I18" s="2"/>
      <c r="J18" s="2"/>
      <c r="K18" s="2"/>
      <c r="L18" s="2"/>
      <c r="M18" s="5"/>
      <c r="N18" s="2"/>
      <c r="O18" s="2"/>
      <c r="P18" s="2"/>
      <c r="X18" s="2"/>
      <c r="Y18" s="2"/>
      <c r="Z18" s="2"/>
    </row>
    <row r="19">
      <c r="A19" s="2"/>
      <c r="B19" s="5"/>
      <c r="C19" s="10"/>
      <c r="D19" s="24" t="s">
        <v>6</v>
      </c>
      <c r="E19" s="10"/>
      <c r="F19" s="10"/>
      <c r="G19" s="10"/>
      <c r="H19" s="10"/>
      <c r="I19" s="10"/>
      <c r="J19" s="10"/>
      <c r="K19" s="10"/>
      <c r="L19" s="10"/>
      <c r="M19" s="5"/>
      <c r="N19" s="2"/>
      <c r="O19" s="2"/>
      <c r="P19" s="2"/>
      <c r="X19" s="2"/>
      <c r="Y19" s="2"/>
      <c r="Z19" s="2"/>
    </row>
    <row r="20">
      <c r="A20" s="2"/>
      <c r="B20" s="5"/>
      <c r="C20" s="10"/>
      <c r="D20" s="10"/>
      <c r="E20" s="10"/>
      <c r="F20" s="26" t="s">
        <v>8</v>
      </c>
      <c r="M20" s="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5"/>
      <c r="C21" s="10"/>
      <c r="D21" s="10"/>
      <c r="E21" s="10"/>
      <c r="F21" s="26" t="s">
        <v>9</v>
      </c>
      <c r="M21" s="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5"/>
      <c r="C22" s="10"/>
      <c r="D22" s="10"/>
      <c r="E22" s="10"/>
      <c r="F22" s="26" t="s">
        <v>10</v>
      </c>
      <c r="M22" s="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5"/>
      <c r="C23" s="10"/>
      <c r="D23" s="2"/>
      <c r="E23" s="2"/>
      <c r="M23" s="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5"/>
      <c r="C24" s="10"/>
      <c r="D24" s="2"/>
      <c r="E24" s="2"/>
      <c r="M24" s="5"/>
      <c r="N24" s="2"/>
      <c r="T24" s="2"/>
      <c r="U24" s="2"/>
      <c r="V24" s="2"/>
      <c r="W24" s="2"/>
      <c r="X24" s="2"/>
      <c r="Y24" s="2"/>
      <c r="Z24" s="2"/>
    </row>
    <row r="25">
      <c r="A25" s="2"/>
      <c r="B25" s="5"/>
      <c r="C25" s="2"/>
      <c r="D25" s="2"/>
      <c r="E25" s="2"/>
      <c r="M25" s="5"/>
      <c r="N25" s="2"/>
      <c r="T25" s="2"/>
      <c r="U25" s="2"/>
      <c r="V25" s="2"/>
      <c r="W25" s="2"/>
      <c r="X25" s="2"/>
      <c r="Y25" s="2"/>
      <c r="Z25" s="2"/>
    </row>
    <row r="26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2"/>
      <c r="T26" s="2"/>
      <c r="U26" s="2"/>
      <c r="V26" s="2"/>
      <c r="W26" s="2"/>
      <c r="X26" s="2"/>
      <c r="Y26" s="2"/>
      <c r="Z26" s="2"/>
    </row>
    <row r="27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5"/>
      <c r="N27" s="2"/>
      <c r="T27" s="2"/>
      <c r="U27" s="2"/>
      <c r="V27" s="2"/>
      <c r="W27" s="2"/>
      <c r="X27" s="2"/>
      <c r="Y27" s="2"/>
      <c r="Z27" s="2"/>
    </row>
    <row r="28">
      <c r="A28" s="2"/>
      <c r="B28" s="5"/>
      <c r="C28" s="2"/>
      <c r="D28" s="2"/>
      <c r="E28" s="2"/>
      <c r="F28" s="3"/>
      <c r="G28" s="3"/>
      <c r="H28" s="3"/>
      <c r="I28" s="3"/>
      <c r="J28" s="3"/>
      <c r="K28" s="2"/>
      <c r="L28" s="2"/>
      <c r="M28" s="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5"/>
      <c r="C29" s="2"/>
      <c r="D29" s="2"/>
      <c r="E29" s="5"/>
      <c r="F29" s="30"/>
      <c r="G29" s="30"/>
      <c r="H29" s="30"/>
      <c r="I29" s="30"/>
      <c r="J29" s="32"/>
      <c r="K29" s="2"/>
      <c r="L29" s="2"/>
      <c r="M29" s="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5"/>
      <c r="C30" s="3"/>
      <c r="D30" s="3"/>
      <c r="E30" s="8"/>
      <c r="F30" s="34" t="s">
        <v>14</v>
      </c>
      <c r="J30" s="36"/>
      <c r="K30" s="3"/>
      <c r="L30" s="3"/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5"/>
      <c r="F31" s="38" t="s">
        <v>15</v>
      </c>
      <c r="J31" s="3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5"/>
      <c r="F32" s="40" t="s">
        <v>16</v>
      </c>
      <c r="J32" s="3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5"/>
      <c r="F33" s="42"/>
      <c r="G33" s="42"/>
      <c r="H33" s="42"/>
      <c r="I33" s="42"/>
      <c r="J33" s="4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3">
    <mergeCell ref="O7:W7"/>
    <mergeCell ref="O8:W11"/>
    <mergeCell ref="C10:M10"/>
    <mergeCell ref="D13:L17"/>
    <mergeCell ref="Q14:W14"/>
    <mergeCell ref="Q15:W15"/>
    <mergeCell ref="Q16:W16"/>
    <mergeCell ref="Q17:W17"/>
    <mergeCell ref="Q18:W18"/>
    <mergeCell ref="Q19:W19"/>
    <mergeCell ref="F20:L20"/>
    <mergeCell ref="F21:L21"/>
    <mergeCell ref="F22:L22"/>
    <mergeCell ref="F23:L23"/>
    <mergeCell ref="F31:J31"/>
    <mergeCell ref="F32:J32"/>
    <mergeCell ref="F24:L24"/>
    <mergeCell ref="O24:S24"/>
    <mergeCell ref="F25:L25"/>
    <mergeCell ref="O25:S25"/>
    <mergeCell ref="O26:S26"/>
    <mergeCell ref="O27:S27"/>
    <mergeCell ref="F30:J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35.14"/>
    <col customWidth="1" min="3" max="3" width="4.14"/>
  </cols>
  <sheetData>
    <row r="1">
      <c r="A1" s="1"/>
      <c r="B1" s="1"/>
      <c r="C1" s="1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/>
      <c r="B2" s="7"/>
      <c r="C2" s="7"/>
      <c r="D2" s="9"/>
      <c r="E2" s="7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3"/>
      <c r="B3" s="15"/>
      <c r="C3" s="1"/>
      <c r="D3" s="17"/>
      <c r="E3" s="1"/>
      <c r="F3" s="2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/>
      <c r="B4" s="15" t="s">
        <v>2</v>
      </c>
      <c r="C4" s="1"/>
      <c r="D4" s="17">
        <v>1000.0</v>
      </c>
      <c r="E4" s="1"/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3"/>
      <c r="B5" s="15" t="s">
        <v>3</v>
      </c>
      <c r="C5" s="1"/>
      <c r="D5" s="17">
        <v>100.0</v>
      </c>
      <c r="E5" s="1"/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3"/>
      <c r="B6" s="15" t="s">
        <v>4</v>
      </c>
      <c r="C6" s="1"/>
      <c r="D6" s="17">
        <v>100.0</v>
      </c>
      <c r="E6" s="1"/>
      <c r="F6" s="2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3"/>
      <c r="B7" s="15"/>
      <c r="C7" s="1"/>
      <c r="D7" s="23"/>
      <c r="E7" s="1"/>
      <c r="F7" s="2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3"/>
      <c r="B8" s="15" t="s">
        <v>5</v>
      </c>
      <c r="C8" s="1"/>
      <c r="D8" s="23">
        <v>0.45</v>
      </c>
      <c r="E8" s="1"/>
      <c r="F8" s="2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3"/>
      <c r="B9" s="15" t="s">
        <v>7</v>
      </c>
      <c r="C9" s="1"/>
      <c r="D9" s="25">
        <f>D4*D8</f>
        <v>450</v>
      </c>
      <c r="E9" s="1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27"/>
      <c r="C10" s="1"/>
      <c r="D10" s="25"/>
      <c r="E10" s="1"/>
      <c r="F10" s="20"/>
      <c r="G10" s="1"/>
      <c r="H10" s="1"/>
      <c r="I10" s="1"/>
      <c r="J10" s="2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/>
      <c r="B11" s="27"/>
      <c r="C11" s="1"/>
      <c r="D11" s="25"/>
      <c r="E11" s="1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/>
      <c r="B12" s="15" t="s">
        <v>11</v>
      </c>
      <c r="C12" s="1"/>
      <c r="D12" s="29">
        <f>(D13)/D4</f>
        <v>0.8</v>
      </c>
      <c r="E12" s="1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/>
      <c r="B13" s="15" t="s">
        <v>12</v>
      </c>
      <c r="C13" s="1"/>
      <c r="D13" s="25">
        <f>D4-(D5+D6)</f>
        <v>800</v>
      </c>
      <c r="E13" s="1"/>
      <c r="F13" s="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/>
      <c r="B14" s="27"/>
      <c r="C14" s="1"/>
      <c r="D14" s="25"/>
      <c r="E14" s="1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/>
      <c r="B15" s="27"/>
      <c r="C15" s="1"/>
      <c r="D15" s="25"/>
      <c r="E15" s="1"/>
      <c r="F15" s="2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/>
      <c r="B16" s="15" t="s">
        <v>13</v>
      </c>
      <c r="C16" s="1"/>
      <c r="D16" s="31">
        <f>D12-D8</f>
        <v>0.35</v>
      </c>
      <c r="E16" s="1"/>
      <c r="F16" s="2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/>
      <c r="B17" s="15"/>
      <c r="C17" s="1"/>
      <c r="D17" s="33"/>
      <c r="E17" s="1"/>
      <c r="F17" s="2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5"/>
      <c r="B18" s="37"/>
      <c r="C18" s="39"/>
      <c r="D18" s="41"/>
      <c r="E18" s="39"/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5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5"/>
      <c r="C20" s="1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35.14"/>
    <col customWidth="1" min="3" max="3" width="4.14"/>
  </cols>
  <sheetData>
    <row r="1">
      <c r="A1" s="1"/>
      <c r="B1" s="1"/>
      <c r="C1" s="1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/>
      <c r="B2" s="7"/>
      <c r="C2" s="7"/>
      <c r="D2" s="9"/>
      <c r="E2" s="7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3"/>
      <c r="B3" s="15"/>
      <c r="C3" s="1"/>
      <c r="D3" s="17"/>
      <c r="E3" s="1"/>
      <c r="F3" s="2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/>
      <c r="B4" s="15" t="s">
        <v>2</v>
      </c>
      <c r="C4" s="1"/>
      <c r="D4" s="17">
        <v>80.0</v>
      </c>
      <c r="E4" s="1"/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3"/>
      <c r="B5" s="15" t="s">
        <v>3</v>
      </c>
      <c r="C5" s="1"/>
      <c r="D5" s="17">
        <v>15.0</v>
      </c>
      <c r="E5" s="1"/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3"/>
      <c r="B6" s="15" t="s">
        <v>4</v>
      </c>
      <c r="C6" s="1"/>
      <c r="D6" s="17">
        <v>8.0</v>
      </c>
      <c r="E6" s="1"/>
      <c r="F6" s="2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3"/>
      <c r="B7" s="15"/>
      <c r="C7" s="1"/>
      <c r="D7" s="23"/>
      <c r="E7" s="1"/>
      <c r="F7" s="2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3"/>
      <c r="B8" s="15" t="s">
        <v>5</v>
      </c>
      <c r="C8" s="1"/>
      <c r="D8" s="23">
        <v>0.45</v>
      </c>
      <c r="E8" s="1"/>
      <c r="F8" s="2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3"/>
      <c r="B9" s="15" t="s">
        <v>7</v>
      </c>
      <c r="C9" s="1"/>
      <c r="D9" s="25">
        <f>D4*D8</f>
        <v>36</v>
      </c>
      <c r="E9" s="1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/>
      <c r="B10" s="27"/>
      <c r="C10" s="1"/>
      <c r="D10" s="25"/>
      <c r="E10" s="1"/>
      <c r="F10" s="20"/>
      <c r="G10" s="1"/>
      <c r="H10" s="1"/>
      <c r="I10" s="1"/>
      <c r="J10" s="2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/>
      <c r="B11" s="27"/>
      <c r="C11" s="1"/>
      <c r="D11" s="25"/>
      <c r="E11" s="1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/>
      <c r="B12" s="15" t="s">
        <v>11</v>
      </c>
      <c r="C12" s="1"/>
      <c r="D12" s="29">
        <f>(D13)/D4</f>
        <v>0.7125</v>
      </c>
      <c r="E12" s="1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/>
      <c r="B13" s="15" t="s">
        <v>12</v>
      </c>
      <c r="C13" s="1"/>
      <c r="D13" s="25">
        <f>D4-(D5+D6)</f>
        <v>57</v>
      </c>
      <c r="E13" s="1"/>
      <c r="F13" s="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/>
      <c r="B14" s="27"/>
      <c r="C14" s="1"/>
      <c r="D14" s="25"/>
      <c r="E14" s="1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/>
      <c r="B15" s="27"/>
      <c r="C15" s="1"/>
      <c r="D15" s="25"/>
      <c r="E15" s="1"/>
      <c r="F15" s="2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/>
      <c r="B16" s="15" t="s">
        <v>13</v>
      </c>
      <c r="C16" s="1"/>
      <c r="D16" s="31">
        <f>D12-D8</f>
        <v>0.2625</v>
      </c>
      <c r="E16" s="1"/>
      <c r="F16" s="2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/>
      <c r="B17" s="15"/>
      <c r="C17" s="1"/>
      <c r="D17" s="33"/>
      <c r="E17" s="1"/>
      <c r="F17" s="2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5"/>
      <c r="B18" s="37"/>
      <c r="C18" s="39"/>
      <c r="D18" s="41"/>
      <c r="E18" s="39"/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5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5"/>
      <c r="C20" s="1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